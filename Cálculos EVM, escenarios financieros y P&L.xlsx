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ad1\OneDrive\Escritorio\Reto técnico\"/>
    </mc:Choice>
  </mc:AlternateContent>
  <xr:revisionPtr revIDLastSave="0" documentId="8_{A5FFBD8F-C1AD-4A82-872E-844F5D551EE5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CÁLC-EVM-30%" sheetId="1" r:id="rId1"/>
    <sheet name="ESCENARIOS FINANCIEROS" sheetId="2" r:id="rId2"/>
    <sheet name="3_P&amp;L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C3" i="3" s="1"/>
  <c r="B5" i="3"/>
  <c r="F5" i="2"/>
  <c r="E3" i="3" s="1"/>
  <c r="E5" i="2"/>
  <c r="E7" i="3" s="1"/>
  <c r="D5" i="2"/>
  <c r="E6" i="3" s="1"/>
  <c r="E4" i="2"/>
  <c r="D7" i="3" s="1"/>
  <c r="D4" i="2"/>
  <c r="F4" i="2" s="1"/>
  <c r="D3" i="3" s="1"/>
  <c r="E3" i="2"/>
  <c r="C7" i="3" s="1"/>
  <c r="D3" i="2"/>
  <c r="C6" i="3" s="1"/>
  <c r="B13" i="1"/>
  <c r="B12" i="1"/>
  <c r="C5" i="2" s="1"/>
  <c r="E5" i="3" s="1"/>
  <c r="B10" i="1"/>
  <c r="B9" i="1"/>
  <c r="B11" i="1" s="1"/>
  <c r="B8" i="1"/>
  <c r="B7" i="1"/>
  <c r="D6" i="3" l="1"/>
  <c r="B8" i="3"/>
  <c r="G5" i="2"/>
  <c r="C3" i="2"/>
  <c r="C4" i="2"/>
  <c r="I5" i="2" l="1"/>
  <c r="E8" i="3"/>
  <c r="G4" i="2"/>
  <c r="D8" i="3" s="1"/>
  <c r="D5" i="3"/>
  <c r="B9" i="3"/>
  <c r="B10" i="3" s="1"/>
  <c r="H5" i="2"/>
  <c r="E9" i="3" s="1"/>
  <c r="E10" i="3" s="1"/>
  <c r="G3" i="2"/>
  <c r="I3" i="2" s="1"/>
  <c r="C5" i="3"/>
  <c r="H4" i="2"/>
  <c r="D9" i="3" s="1"/>
  <c r="D10" i="3" s="1"/>
  <c r="I4" i="2" l="1"/>
  <c r="H3" i="2"/>
  <c r="C9" i="3" s="1"/>
  <c r="C10" i="3" s="1"/>
  <c r="C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Fuente: Parte 5 del caso, BAC reportado al 30% de avance.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Fuente: Parte 5 del caso, PV USD 25,000.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Fuente: Parte 5 del caso, EV USD 21,000.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Fuente: Parte 5 del caso, AC USD 26,500.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CV = EV - AC. Resultado negativo significa sobrecosto.</t>
        </r>
      </text>
    </comment>
    <comment ref="B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SV = EV - PV. Resultado negativo significa retraso.</t>
        </r>
      </text>
    </comment>
    <comment ref="B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CPI = EV / AC. Menor a 1 indica ineficiencia de costos.</t>
        </r>
      </text>
    </comment>
    <comment ref="B10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SPI = EV / PV. Menor a 1 indica retraso en cronograma.</t>
        </r>
      </text>
    </comment>
    <comment ref="B1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EAC = BAC / CPI. Proyecta costo final si el desempeño actual continúa.</t>
        </r>
      </text>
    </comment>
    <comment ref="B1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EAC = AC + (BAC - EV). Proyecta costo final si se recupera desempeño planificado.</t>
        </r>
      </text>
    </comment>
    <comment ref="B1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TCPI = (BAC - EV)/(BAC - AC). Mide eficiencia requerida para cumplir BAC.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Fuente: Evento 2, esfuerzo adicional de compliance ~USD 6,000.</t>
        </r>
      </text>
    </comment>
    <comment ref="E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Fuente: Evento 2, riesgo medio de retraso adicional de 5 días; penalidad USD 800/día.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Fuente: precio de venta contractual USD 105,000.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Fuente: costo total estimado del proyecto USD 80,000 según parámetros comerciales/anexo.</t>
        </r>
      </text>
    </comment>
  </commentList>
</comments>
</file>

<file path=xl/sharedStrings.xml><?xml version="1.0" encoding="utf-8"?>
<sst xmlns="http://schemas.openxmlformats.org/spreadsheetml/2006/main" count="110" uniqueCount="99">
  <si>
    <t>Métrica</t>
  </si>
  <si>
    <t>Valor / Fórmula</t>
  </si>
  <si>
    <t>Interpretación</t>
  </si>
  <si>
    <t>Consecuencia en el proyecto</t>
  </si>
  <si>
    <t>BAC</t>
  </si>
  <si>
    <t>Presupuesto total reportado para el cálculo EVM al 30%.</t>
  </si>
  <si>
    <t>Sirve como base para EAC y TCPI.</t>
  </si>
  <si>
    <t>Parte 5: BAC reportado USD 79,000.</t>
  </si>
  <si>
    <t>PV</t>
  </si>
  <si>
    <t>Valor planificado a la fecha de corte.</t>
  </si>
  <si>
    <t>Mide cuánto se esperaba haber avanzado en valor presupuestado.</t>
  </si>
  <si>
    <t>Parte 5: PV USD 25,000.</t>
  </si>
  <si>
    <t>EV</t>
  </si>
  <si>
    <t>Valor ganado realmente por el avance ejecutado.</t>
  </si>
  <si>
    <t>Base para medir variaciones de costo y cronograma.</t>
  </si>
  <si>
    <t>Parte 5: EV USD 21,000.</t>
  </si>
  <si>
    <t>AC</t>
  </si>
  <si>
    <t>Costo real incurrido al corte.</t>
  </si>
  <si>
    <t>Permite evidenciar si el proyecto está gastando más que el valor generado.</t>
  </si>
  <si>
    <t>Parte 5: AC USD 26,500.</t>
  </si>
  <si>
    <t>CV</t>
  </si>
  <si>
    <t>Desviación de costo negativa: se gastó más de lo que se ganó.</t>
  </si>
  <si>
    <t>El proyecto presenta sobrecosto; se está consumiendo margen.</t>
  </si>
  <si>
    <t>Calculado.</t>
  </si>
  <si>
    <t>SV</t>
  </si>
  <si>
    <t>Desviación de cronograma negativa: se avanzó menos de lo planificado.</t>
  </si>
  <si>
    <t>El proyecto presenta retraso respecto al plan.</t>
  </si>
  <si>
    <t>CPI</t>
  </si>
  <si>
    <t>Por cada USD 1 gastado, se genera aprox. USD 0.79 de valor.</t>
  </si>
  <si>
    <t>Ineficiencia de costos y riesgo de exceder presupuesto.</t>
  </si>
  <si>
    <t>SPI</t>
  </si>
  <si>
    <t>Por cada 1 unidad de avance planificado, solo se logró 0.84.</t>
  </si>
  <si>
    <t>Retraso y riesgo de incumplimiento de hitos.</t>
  </si>
  <si>
    <t>EAC desempeño actual</t>
  </si>
  <si>
    <t>Costo final estimado si el desempeño actual continúa.</t>
  </si>
  <si>
    <t>El costo proyectado supera el BAC y reduce margen.</t>
  </si>
  <si>
    <t>Calculado con BAC 79,000 reportado en parte 5.</t>
  </si>
  <si>
    <t>EAC recuperando desempeño planificado</t>
  </si>
  <si>
    <t>Costo final si desde el corte se recupera el desempeño planificado.</t>
  </si>
  <si>
    <t>Escenario más controlado, pero requiere gestión correctiva.</t>
  </si>
  <si>
    <t>TCPI para cumplir BAC</t>
  </si>
  <si>
    <t>Eficiencia requerida para completar dentro del BAC original.</t>
  </si>
  <si>
    <t>Mayor a 1: difícil de lograr sin acciones fuertes de control.</t>
  </si>
  <si>
    <t>Conclusión ejecutiva EVM</t>
  </si>
  <si>
    <t>El proyecto se encuentra en una condición desfavorable al 30% del avance: CV y SV son negativos, CPI es menor a 1 y SPI es menor a 1. Esto evidencia sobrecosto y retraso. El TCPI mayor a 1 indica que cumplir el presupuesto original exige una eficiencia superior al desempeño actual, por lo que se recomienda replanificar, controlar costos y formalizar los impactos mediante Change Requests.</t>
  </si>
  <si>
    <t>Escenario</t>
  </si>
  <si>
    <t>Descripción</t>
  </si>
  <si>
    <t>Costo base</t>
  </si>
  <si>
    <t>Impacto compliance</t>
  </si>
  <si>
    <t>Penalidad</t>
  </si>
  <si>
    <t>Ingreso</t>
  </si>
  <si>
    <t>Costo total</t>
  </si>
  <si>
    <t>Resultado P&amp;L</t>
  </si>
  <si>
    <t>Margen %</t>
  </si>
  <si>
    <t>Conclusión</t>
  </si>
  <si>
    <t>1. No hacer nada</t>
  </si>
  <si>
    <t>Se mantiene el desempeño actual y se absorbe el impacto explícito de compliance y la penalidad por 5 días.</t>
  </si>
  <si>
    <t>Escenario crítico: el proyecto entra en pérdida, consume el margen y expone al equipo a incumplimiento.</t>
  </si>
  <si>
    <t>2. Propuesta principal</t>
  </si>
  <si>
    <t>Formalizar CR por compliance: el cliente reconoce los USD 6,000. Se replanifica el plazo de 5 días vía aprobación formal.</t>
  </si>
  <si>
    <t>Escenario recomendado: protege margen, da trazabilidad contractual y reduce riesgo de penalidad.</t>
  </si>
  <si>
    <t>3. Alternativa rechazada</t>
  </si>
  <si>
    <t>Absorber compliance sin CR, aunque se recupere parcialmente el desempeño planificado.</t>
  </si>
  <si>
    <t>No recomendado: aunque mejora el costo base, la empresa asume costos y penalidad, reduciendo rentabilidad.</t>
  </si>
  <si>
    <t>Explicación de los escenarios</t>
  </si>
  <si>
    <t>Escenario 1: Se usa el EAC de desempeño actual porque representa la continuidad de la tendencia negativa del proyecto. Se suma el costo explícito de compliance (USD 6,000) y la penalidad explícita de 5 días x USD 800/día.</t>
  </si>
  <si>
    <t>Escenario 2: Es la propuesta principal porque convierte el impacto de compliance en un Change Request. El ingreso aumenta por reconocimiento del cambio y no se aplica penalidad, ya que el cambio de alcance debe formalizar su impacto en plazo.</t>
  </si>
  <si>
    <t>Escenario 3: Se muestra como alternativa rechazada: recuperar desempeño ayuda, pero absorber compliance y penalidad sin CR destruye parte del margen y deja al proveedor expuesto.</t>
  </si>
  <si>
    <t>Concepto</t>
  </si>
  <si>
    <t>Base inicial</t>
  </si>
  <si>
    <t>Escenario 1: No hacer nada</t>
  </si>
  <si>
    <t>Escenario 2: Propuesta principal</t>
  </si>
  <si>
    <t>Escenario 3: Alternativa rechazada</t>
  </si>
  <si>
    <t>Fórmula / lógica</t>
  </si>
  <si>
    <t>Ingreso contractual</t>
  </si>
  <si>
    <t>Costo estimado inicial</t>
  </si>
  <si>
    <t>Costo proyectado/EAC</t>
  </si>
  <si>
    <t>Costo proyectado + compliance + penalidad.</t>
  </si>
  <si>
    <t>Mide rentabilidad final.</t>
  </si>
  <si>
    <t>Conclusión P&amp;L</t>
  </si>
  <si>
    <t>Comentarios</t>
  </si>
  <si>
    <t>Cálculos EVM al 30% de avance</t>
  </si>
  <si>
    <t>Escenarios financieros y de respuesta</t>
  </si>
  <si>
    <t>Precio de venta contractual. En la propuesta principal aumenta por CR de compliance.</t>
  </si>
  <si>
    <t>Base para medir rentabilidad.</t>
  </si>
  <si>
    <t>Costo estimado contractual del proyecto.</t>
  </si>
  <si>
    <t>Base inicial del proyecto.</t>
  </si>
  <si>
    <t>Determina el costo probable de cierre.</t>
  </si>
  <si>
    <t>Dato explícito del evento 2: USD 6,000.</t>
  </si>
  <si>
    <t>Aumenta costo si no se gestiona como CR.</t>
  </si>
  <si>
    <t>Dato explícito: 5 días x USD 800/día.</t>
  </si>
  <si>
    <t>Reduce utilidad si aplica retraso.</t>
  </si>
  <si>
    <t>Permite comparar contra ingreso.</t>
  </si>
  <si>
    <t>Ingreso - costo total.</t>
  </si>
  <si>
    <t>Indica ganancia o pérdida.</t>
  </si>
  <si>
    <t>Resultado P&amp;L / ingreso.</t>
  </si>
  <si>
    <t>P&amp;L proyectado del proyecto</t>
  </si>
  <si>
    <t>El P&amp;L  calcula el margen con la fórmula correcta: Resultado P&amp;L / Ingreso. La base inicial muestra utilidad de USD 26,000 y margen de 24.76%. El escenario 1 destruye el margen porque combina EAC alto, compliance y penalidad. La propuesta principal es la más sólida porque formaliza el cambio y protege la rentabilidad.</t>
  </si>
  <si>
    <t>EAC según desempeño actual o recuperación planificada; para base inicial se usa costo proyectado de 79 000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</si>
</sst>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[Red]\(\$#,##0\);\-"/>
    <numFmt numFmtId="165" formatCode="#,##0.00;[Red]\(#,##0.00\);\-"/>
    <numFmt numFmtId="166" formatCode="0.0%;[Red]\(0.0%\);\-"/>
    <numFmt numFmtId="167" formatCode="\$#,##0.0;[Red]\(\$#,##0.0\);\-"/>
    <numFmt numFmtId="176" formatCode="0.0%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2F6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167" fontId="0" fillId="0" borderId="0" xfId="0" applyNumberFormat="1"/>
    <xf numFmtId="164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10" fontId="0" fillId="0" borderId="1" xfId="0" applyNumberFormat="1" applyBorder="1" applyAlignment="1">
      <alignment horizontal="left" vertical="top" wrapText="1"/>
    </xf>
    <xf numFmtId="176" fontId="0" fillId="0" borderId="1" xfId="0" applyNumberFormat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workbookViewId="0">
      <pane ySplit="2" topLeftCell="A3" activePane="bottomLeft" state="frozen"/>
      <selection pane="bottomLeft" activeCell="H10" sqref="H10"/>
    </sheetView>
  </sheetViews>
  <sheetFormatPr baseColWidth="10" defaultColWidth="9.140625" defaultRowHeight="15" x14ac:dyDescent="0.25"/>
  <cols>
    <col min="1" max="1" width="28" customWidth="1"/>
    <col min="2" max="2" width="15.85546875" customWidth="1"/>
    <col min="3" max="3" width="32" customWidth="1"/>
    <col min="4" max="4" width="38" customWidth="1"/>
    <col min="5" max="5" width="42" customWidth="1"/>
  </cols>
  <sheetData>
    <row r="1" spans="1:5" ht="27" customHeight="1" x14ac:dyDescent="0.3">
      <c r="A1" s="9" t="s">
        <v>81</v>
      </c>
      <c r="B1" s="10"/>
      <c r="C1" s="10"/>
      <c r="D1" s="10"/>
      <c r="E1" s="10"/>
    </row>
    <row r="2" spans="1:5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80</v>
      </c>
    </row>
    <row r="3" spans="1:5" ht="30" x14ac:dyDescent="0.25">
      <c r="A3" s="12" t="s">
        <v>4</v>
      </c>
      <c r="B3" s="13">
        <v>79000</v>
      </c>
      <c r="C3" s="12" t="s">
        <v>5</v>
      </c>
      <c r="D3" s="12" t="s">
        <v>6</v>
      </c>
      <c r="E3" s="12" t="s">
        <v>7</v>
      </c>
    </row>
    <row r="4" spans="1:5" ht="30" x14ac:dyDescent="0.25">
      <c r="A4" s="12" t="s">
        <v>8</v>
      </c>
      <c r="B4" s="13">
        <v>25000</v>
      </c>
      <c r="C4" s="12" t="s">
        <v>9</v>
      </c>
      <c r="D4" s="12" t="s">
        <v>10</v>
      </c>
      <c r="E4" s="12" t="s">
        <v>11</v>
      </c>
    </row>
    <row r="5" spans="1:5" ht="30" x14ac:dyDescent="0.25">
      <c r="A5" s="12" t="s">
        <v>12</v>
      </c>
      <c r="B5" s="13">
        <v>21000</v>
      </c>
      <c r="C5" s="12" t="s">
        <v>13</v>
      </c>
      <c r="D5" s="12" t="s">
        <v>14</v>
      </c>
      <c r="E5" s="12" t="s">
        <v>15</v>
      </c>
    </row>
    <row r="6" spans="1:5" ht="30" x14ac:dyDescent="0.25">
      <c r="A6" s="12" t="s">
        <v>16</v>
      </c>
      <c r="B6" s="13">
        <v>26500</v>
      </c>
      <c r="C6" s="12" t="s">
        <v>17</v>
      </c>
      <c r="D6" s="12" t="s">
        <v>18</v>
      </c>
      <c r="E6" s="12" t="s">
        <v>19</v>
      </c>
    </row>
    <row r="7" spans="1:5" ht="30" x14ac:dyDescent="0.25">
      <c r="A7" s="12" t="s">
        <v>20</v>
      </c>
      <c r="B7" s="14">
        <f>B5-B6</f>
        <v>-5500</v>
      </c>
      <c r="C7" s="12" t="s">
        <v>21</v>
      </c>
      <c r="D7" s="12" t="s">
        <v>22</v>
      </c>
      <c r="E7" s="12" t="s">
        <v>23</v>
      </c>
    </row>
    <row r="8" spans="1:5" ht="45" x14ac:dyDescent="0.25">
      <c r="A8" s="12" t="s">
        <v>24</v>
      </c>
      <c r="B8" s="14">
        <f>B5-B4</f>
        <v>-4000</v>
      </c>
      <c r="C8" s="12" t="s">
        <v>25</v>
      </c>
      <c r="D8" s="12" t="s">
        <v>26</v>
      </c>
      <c r="E8" s="12" t="s">
        <v>23</v>
      </c>
    </row>
    <row r="9" spans="1:5" ht="30" x14ac:dyDescent="0.25">
      <c r="A9" s="12" t="s">
        <v>27</v>
      </c>
      <c r="B9" s="15">
        <f>B5/B6</f>
        <v>0.79245283018867929</v>
      </c>
      <c r="C9" s="12" t="s">
        <v>28</v>
      </c>
      <c r="D9" s="12" t="s">
        <v>29</v>
      </c>
      <c r="E9" s="12" t="s">
        <v>23</v>
      </c>
    </row>
    <row r="10" spans="1:5" ht="30" x14ac:dyDescent="0.25">
      <c r="A10" s="12" t="s">
        <v>30</v>
      </c>
      <c r="B10" s="15">
        <f>B5/B4</f>
        <v>0.84</v>
      </c>
      <c r="C10" s="12" t="s">
        <v>31</v>
      </c>
      <c r="D10" s="12" t="s">
        <v>32</v>
      </c>
      <c r="E10" s="12" t="s">
        <v>23</v>
      </c>
    </row>
    <row r="11" spans="1:5" ht="30" x14ac:dyDescent="0.25">
      <c r="A11" s="12" t="s">
        <v>33</v>
      </c>
      <c r="B11" s="14">
        <f>B3/B9</f>
        <v>99690.476190476184</v>
      </c>
      <c r="C11" s="12" t="s">
        <v>34</v>
      </c>
      <c r="D11" s="12" t="s">
        <v>35</v>
      </c>
      <c r="E11" s="12" t="s">
        <v>36</v>
      </c>
    </row>
    <row r="12" spans="1:5" ht="45" x14ac:dyDescent="0.25">
      <c r="A12" s="12" t="s">
        <v>37</v>
      </c>
      <c r="B12" s="14">
        <f>B6+(B3-B5)</f>
        <v>84500</v>
      </c>
      <c r="C12" s="12" t="s">
        <v>38</v>
      </c>
      <c r="D12" s="12" t="s">
        <v>39</v>
      </c>
      <c r="E12" s="12" t="s">
        <v>23</v>
      </c>
    </row>
    <row r="13" spans="1:5" ht="30" x14ac:dyDescent="0.25">
      <c r="A13" s="12" t="s">
        <v>40</v>
      </c>
      <c r="B13" s="15">
        <f>(B3-B5)/(B3-B6)</f>
        <v>1.1047619047619048</v>
      </c>
      <c r="C13" s="12" t="s">
        <v>41</v>
      </c>
      <c r="D13" s="12" t="s">
        <v>42</v>
      </c>
      <c r="E13" s="12" t="s">
        <v>23</v>
      </c>
    </row>
    <row r="14" spans="1:5" x14ac:dyDescent="0.25">
      <c r="A14" s="16"/>
      <c r="B14" s="16"/>
      <c r="C14" s="16"/>
      <c r="D14" s="16"/>
      <c r="E14" s="16"/>
    </row>
    <row r="15" spans="1:5" x14ac:dyDescent="0.25">
      <c r="A15" s="16"/>
      <c r="B15" s="16"/>
      <c r="C15" s="16"/>
      <c r="D15" s="16"/>
      <c r="E15" s="16"/>
    </row>
    <row r="16" spans="1:5" x14ac:dyDescent="0.25">
      <c r="A16" s="8" t="s">
        <v>43</v>
      </c>
      <c r="B16" s="17"/>
      <c r="C16" s="17"/>
      <c r="D16" s="17"/>
      <c r="E16" s="17"/>
    </row>
    <row r="17" spans="1:5" x14ac:dyDescent="0.25">
      <c r="A17" s="18" t="s">
        <v>44</v>
      </c>
      <c r="B17" s="17"/>
      <c r="C17" s="17"/>
      <c r="D17" s="17"/>
      <c r="E17" s="17"/>
    </row>
    <row r="18" spans="1:5" x14ac:dyDescent="0.25">
      <c r="A18" s="17"/>
      <c r="B18" s="17"/>
      <c r="C18" s="17"/>
      <c r="D18" s="17"/>
      <c r="E18" s="17"/>
    </row>
    <row r="19" spans="1:5" x14ac:dyDescent="0.25">
      <c r="A19" s="17"/>
      <c r="B19" s="17"/>
      <c r="C19" s="17"/>
      <c r="D19" s="17"/>
      <c r="E19" s="17"/>
    </row>
    <row r="20" spans="1:5" x14ac:dyDescent="0.25">
      <c r="A20" s="17"/>
      <c r="B20" s="17"/>
      <c r="C20" s="17"/>
      <c r="D20" s="17"/>
      <c r="E20" s="17"/>
    </row>
  </sheetData>
  <mergeCells count="3">
    <mergeCell ref="A16:E16"/>
    <mergeCell ref="A1:E1"/>
    <mergeCell ref="A17:E20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showGridLines="0" workbookViewId="0">
      <pane ySplit="2" topLeftCell="A3" activePane="bottomLeft" state="frozen"/>
      <selection pane="bottomLeft" activeCell="C3" sqref="C3"/>
    </sheetView>
  </sheetViews>
  <sheetFormatPr baseColWidth="10" defaultColWidth="9.140625" defaultRowHeight="15" x14ac:dyDescent="0.25"/>
  <cols>
    <col min="1" max="1" width="24" customWidth="1"/>
    <col min="2" max="2" width="54" customWidth="1"/>
    <col min="3" max="3" width="16" customWidth="1"/>
    <col min="4" max="4" width="18" customWidth="1"/>
    <col min="5" max="8" width="16" customWidth="1"/>
    <col min="9" max="9" width="12" customWidth="1"/>
    <col min="10" max="10" width="60" customWidth="1"/>
  </cols>
  <sheetData>
    <row r="1" spans="1:10" ht="37.5" customHeight="1" x14ac:dyDescent="0.3">
      <c r="A1" s="9" t="s">
        <v>82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0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</row>
    <row r="3" spans="1:10" ht="30" x14ac:dyDescent="0.25">
      <c r="A3" s="5" t="s">
        <v>55</v>
      </c>
      <c r="B3" s="5" t="s">
        <v>56</v>
      </c>
      <c r="C3" s="20">
        <f>'CÁLC-EVM-30%'!B11</f>
        <v>99690.476190476184</v>
      </c>
      <c r="D3" s="20">
        <f>6000</f>
        <v>6000</v>
      </c>
      <c r="E3" s="20">
        <f>800*5</f>
        <v>4000</v>
      </c>
      <c r="F3" s="20">
        <f>105000</f>
        <v>105000</v>
      </c>
      <c r="G3" s="20">
        <f>C3+D3+E3</f>
        <v>109690.47619047618</v>
      </c>
      <c r="H3" s="20">
        <f>F3-G3</f>
        <v>-4690.4761904761835</v>
      </c>
      <c r="I3" s="21">
        <f>((F3-G3)/F3)</f>
        <v>-4.467120181405889E-2</v>
      </c>
      <c r="J3" s="5" t="s">
        <v>57</v>
      </c>
    </row>
    <row r="4" spans="1:10" ht="45" x14ac:dyDescent="0.25">
      <c r="A4" s="5" t="s">
        <v>58</v>
      </c>
      <c r="B4" s="5" t="s">
        <v>59</v>
      </c>
      <c r="C4" s="20">
        <f>'CÁLC-EVM-30%'!B12</f>
        <v>84500</v>
      </c>
      <c r="D4" s="20">
        <f>6000</f>
        <v>6000</v>
      </c>
      <c r="E4" s="20">
        <f>0</f>
        <v>0</v>
      </c>
      <c r="F4" s="20">
        <f>105000+D4</f>
        <v>111000</v>
      </c>
      <c r="G4" s="20">
        <f>C4+D4+E4</f>
        <v>90500</v>
      </c>
      <c r="H4" s="20">
        <f>F4-G4</f>
        <v>20500</v>
      </c>
      <c r="I4" s="21">
        <f>((F4-G4)/F4)</f>
        <v>0.18468468468468469</v>
      </c>
      <c r="J4" s="5" t="s">
        <v>60</v>
      </c>
    </row>
    <row r="5" spans="1:10" ht="30" x14ac:dyDescent="0.25">
      <c r="A5" s="5" t="s">
        <v>61</v>
      </c>
      <c r="B5" s="5" t="s">
        <v>62</v>
      </c>
      <c r="C5" s="20">
        <f>'CÁLC-EVM-30%'!B12</f>
        <v>84500</v>
      </c>
      <c r="D5" s="20">
        <f>6000</f>
        <v>6000</v>
      </c>
      <c r="E5" s="20">
        <f>800*5</f>
        <v>4000</v>
      </c>
      <c r="F5" s="20">
        <f>105000</f>
        <v>105000</v>
      </c>
      <c r="G5" s="20">
        <f>C5+D5+E5</f>
        <v>94500</v>
      </c>
      <c r="H5" s="20">
        <f>F5-G5</f>
        <v>10500</v>
      </c>
      <c r="I5" s="21">
        <f>((F5-G5)/F5)</f>
        <v>0.1</v>
      </c>
      <c r="J5" s="5" t="s">
        <v>63</v>
      </c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5.75" x14ac:dyDescent="0.25">
      <c r="A8" s="2" t="s">
        <v>64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7" t="s">
        <v>65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7" t="s">
        <v>66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7" t="s">
        <v>67</v>
      </c>
      <c r="B11" s="3"/>
      <c r="C11" s="3"/>
      <c r="D11" s="3"/>
      <c r="E11" s="3"/>
      <c r="F11" s="3"/>
      <c r="G11" s="3"/>
      <c r="H11" s="3"/>
      <c r="I11" s="3"/>
      <c r="J11" s="3"/>
    </row>
    <row r="15" spans="1:10" x14ac:dyDescent="0.25">
      <c r="E15" s="19"/>
    </row>
  </sheetData>
  <mergeCells count="5">
    <mergeCell ref="A1:J1"/>
    <mergeCell ref="A8:J8"/>
    <mergeCell ref="A9:J9"/>
    <mergeCell ref="A10:J10"/>
    <mergeCell ref="A11:J11"/>
  </mergeCells>
  <pageMargins left="0.75" right="0.75" top="1" bottom="1" header="0.5" footer="0.5"/>
  <ignoredErrors>
    <ignoredError sqref="E4:F4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tabSelected="1" workbookViewId="0">
      <pane ySplit="2" topLeftCell="A3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1" width="24" customWidth="1"/>
    <col min="2" max="2" width="14.7109375" customWidth="1"/>
    <col min="3" max="3" width="20.140625" customWidth="1"/>
    <col min="4" max="4" width="21.28515625" customWidth="1"/>
    <col min="5" max="5" width="24.28515625" customWidth="1"/>
    <col min="6" max="6" width="44" customWidth="1"/>
    <col min="7" max="7" width="48.42578125" customWidth="1"/>
  </cols>
  <sheetData>
    <row r="1" spans="1:7" ht="60.75" customHeight="1" x14ac:dyDescent="0.3">
      <c r="A1" s="9" t="s">
        <v>96</v>
      </c>
      <c r="B1" s="22"/>
      <c r="C1" s="22"/>
      <c r="D1" s="22"/>
      <c r="E1" s="22"/>
      <c r="F1" s="22"/>
      <c r="G1" s="22"/>
    </row>
    <row r="2" spans="1:7" ht="30" x14ac:dyDescent="0.25">
      <c r="A2" s="11" t="s">
        <v>68</v>
      </c>
      <c r="B2" s="11" t="s">
        <v>69</v>
      </c>
      <c r="C2" s="11" t="s">
        <v>70</v>
      </c>
      <c r="D2" s="11" t="s">
        <v>71</v>
      </c>
      <c r="E2" s="11" t="s">
        <v>72</v>
      </c>
      <c r="F2" s="11" t="s">
        <v>73</v>
      </c>
      <c r="G2" s="11" t="s">
        <v>54</v>
      </c>
    </row>
    <row r="3" spans="1:7" ht="30" x14ac:dyDescent="0.25">
      <c r="A3" s="24" t="s">
        <v>74</v>
      </c>
      <c r="B3" s="25">
        <v>105000</v>
      </c>
      <c r="C3" s="25">
        <f>'ESCENARIOS FINANCIEROS'!F3</f>
        <v>105000</v>
      </c>
      <c r="D3" s="25">
        <f>'ESCENARIOS FINANCIEROS'!F4</f>
        <v>111000</v>
      </c>
      <c r="E3" s="25">
        <f>'ESCENARIOS FINANCIEROS'!F5</f>
        <v>105000</v>
      </c>
      <c r="F3" s="24" t="s">
        <v>83</v>
      </c>
      <c r="G3" s="24" t="s">
        <v>84</v>
      </c>
    </row>
    <row r="4" spans="1:7" x14ac:dyDescent="0.25">
      <c r="A4" s="24" t="s">
        <v>75</v>
      </c>
      <c r="B4" s="25">
        <v>80000</v>
      </c>
      <c r="C4" s="25">
        <v>80000</v>
      </c>
      <c r="D4" s="25">
        <v>80000</v>
      </c>
      <c r="E4" s="25">
        <v>80000</v>
      </c>
      <c r="F4" s="24" t="s">
        <v>85</v>
      </c>
      <c r="G4" s="24" t="s">
        <v>86</v>
      </c>
    </row>
    <row r="5" spans="1:7" ht="45" x14ac:dyDescent="0.25">
      <c r="A5" s="24" t="s">
        <v>76</v>
      </c>
      <c r="B5" s="25">
        <f>'CÁLC-EVM-30%'!B3</f>
        <v>79000</v>
      </c>
      <c r="C5" s="25">
        <f>'ESCENARIOS FINANCIEROS'!C3</f>
        <v>99690.476190476184</v>
      </c>
      <c r="D5" s="25">
        <f>'ESCENARIOS FINANCIEROS'!C4</f>
        <v>84500</v>
      </c>
      <c r="E5" s="25">
        <f>'ESCENARIOS FINANCIEROS'!C5</f>
        <v>84500</v>
      </c>
      <c r="F5" s="24" t="s">
        <v>98</v>
      </c>
      <c r="G5" s="24" t="s">
        <v>87</v>
      </c>
    </row>
    <row r="6" spans="1:7" x14ac:dyDescent="0.25">
      <c r="A6" s="24" t="s">
        <v>48</v>
      </c>
      <c r="B6" s="25">
        <v>0</v>
      </c>
      <c r="C6" s="25">
        <f>'ESCENARIOS FINANCIEROS'!D3</f>
        <v>6000</v>
      </c>
      <c r="D6" s="25">
        <f>'ESCENARIOS FINANCIEROS'!D4</f>
        <v>6000</v>
      </c>
      <c r="E6" s="25">
        <f>'ESCENARIOS FINANCIEROS'!D5</f>
        <v>6000</v>
      </c>
      <c r="F6" s="24" t="s">
        <v>88</v>
      </c>
      <c r="G6" s="24" t="s">
        <v>89</v>
      </c>
    </row>
    <row r="7" spans="1:7" x14ac:dyDescent="0.25">
      <c r="A7" s="24" t="s">
        <v>49</v>
      </c>
      <c r="B7" s="25">
        <v>0</v>
      </c>
      <c r="C7" s="25">
        <f>'ESCENARIOS FINANCIEROS'!E3</f>
        <v>4000</v>
      </c>
      <c r="D7" s="25">
        <f>'ESCENARIOS FINANCIEROS'!E4</f>
        <v>0</v>
      </c>
      <c r="E7" s="25">
        <f>'ESCENARIOS FINANCIEROS'!E5</f>
        <v>4000</v>
      </c>
      <c r="F7" s="24" t="s">
        <v>90</v>
      </c>
      <c r="G7" s="24" t="s">
        <v>91</v>
      </c>
    </row>
    <row r="8" spans="1:7" x14ac:dyDescent="0.25">
      <c r="A8" s="24" t="s">
        <v>51</v>
      </c>
      <c r="B8" s="25">
        <f>B7+B5+B6</f>
        <v>79000</v>
      </c>
      <c r="C8" s="25">
        <f>'ESCENARIOS FINANCIEROS'!G3</f>
        <v>109690.47619047618</v>
      </c>
      <c r="D8" s="25">
        <f>'ESCENARIOS FINANCIEROS'!G4</f>
        <v>90500</v>
      </c>
      <c r="E8" s="25">
        <f>'ESCENARIOS FINANCIEROS'!G5</f>
        <v>94500</v>
      </c>
      <c r="F8" s="24" t="s">
        <v>77</v>
      </c>
      <c r="G8" s="24" t="s">
        <v>92</v>
      </c>
    </row>
    <row r="9" spans="1:7" x14ac:dyDescent="0.25">
      <c r="A9" s="24" t="s">
        <v>52</v>
      </c>
      <c r="B9" s="25">
        <f>B3-B8</f>
        <v>26000</v>
      </c>
      <c r="C9" s="25">
        <f>'ESCENARIOS FINANCIEROS'!H3</f>
        <v>-4690.4761904761835</v>
      </c>
      <c r="D9" s="25">
        <f>'ESCENARIOS FINANCIEROS'!H4</f>
        <v>20500</v>
      </c>
      <c r="E9" s="25">
        <f>'ESCENARIOS FINANCIEROS'!H5</f>
        <v>10500</v>
      </c>
      <c r="F9" s="24" t="s">
        <v>93</v>
      </c>
      <c r="G9" s="24" t="s">
        <v>94</v>
      </c>
    </row>
    <row r="10" spans="1:7" x14ac:dyDescent="0.25">
      <c r="A10" s="24" t="s">
        <v>53</v>
      </c>
      <c r="B10" s="26">
        <f>B9/B3</f>
        <v>0.24761904761904763</v>
      </c>
      <c r="C10" s="27">
        <f>C9/C3</f>
        <v>-4.467120181405889E-2</v>
      </c>
      <c r="D10" s="27">
        <f>D9/D3</f>
        <v>0.18468468468468469</v>
      </c>
      <c r="E10" s="28">
        <f>E9/E3</f>
        <v>0.1</v>
      </c>
      <c r="F10" s="24" t="s">
        <v>95</v>
      </c>
      <c r="G10" s="24" t="s">
        <v>78</v>
      </c>
    </row>
    <row r="11" spans="1:7" ht="15.75" x14ac:dyDescent="0.25">
      <c r="A11" s="23" t="s">
        <v>79</v>
      </c>
      <c r="B11" s="1"/>
      <c r="C11" s="1"/>
      <c r="D11" s="1"/>
      <c r="E11" s="1"/>
      <c r="F11" s="1"/>
      <c r="G11" s="1"/>
    </row>
    <row r="12" spans="1:7" ht="15" customHeight="1" x14ac:dyDescent="0.25">
      <c r="A12" s="7" t="s">
        <v>97</v>
      </c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</sheetData>
  <mergeCells count="3">
    <mergeCell ref="A11:G11"/>
    <mergeCell ref="A12:G15"/>
    <mergeCell ref="A1:G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CÁLC-EVM-30%</vt:lpstr>
      <vt:lpstr>ESCENARIOS FINANCIEROS</vt:lpstr>
      <vt:lpstr>3_P&amp;L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Andrés Alcántara Díaz</cp:lastModifiedBy>
  <dcterms:created xsi:type="dcterms:W3CDTF">2026-05-03T12:44:42Z</dcterms:created>
  <dcterms:modified xsi:type="dcterms:W3CDTF">2026-05-03T14:42:27Z</dcterms:modified>
</cp:coreProperties>
</file>