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ad1\OneDrive\Escritorio\Reto técnico\Formatos\"/>
    </mc:Choice>
  </mc:AlternateContent>
  <xr:revisionPtr revIDLastSave="0" documentId="13_ncr:1_{D8705DFA-6F64-4045-9B2E-5CBC323F5B03}" xr6:coauthVersionLast="47" xr6:coauthVersionMax="47" xr10:uidLastSave="{00000000-0000-0000-0000-000000000000}"/>
  <bookViews>
    <workbookView xWindow="-120" yWindow="-120" windowWidth="24240" windowHeight="13140" xr2:uid="{0E064E6B-1E9C-418D-A629-97B36F1D903E}"/>
  </bookViews>
  <sheets>
    <sheet name="Cronograma inicial" sheetId="2" r:id="rId1"/>
    <sheet name="Curva 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C17" i="2"/>
  <c r="N24" i="1"/>
</calcChain>
</file>

<file path=xl/sharedStrings.xml><?xml version="1.0" encoding="utf-8"?>
<sst xmlns="http://schemas.openxmlformats.org/spreadsheetml/2006/main" count="39" uniqueCount="29">
  <si>
    <t>Semana</t>
  </si>
  <si>
    <t>Fecha Fin</t>
  </si>
  <si>
    <t>PV Semanal (USD)</t>
  </si>
  <si>
    <t>PV Acumulado (USD)</t>
  </si>
  <si>
    <t>TOTAL</t>
  </si>
  <si>
    <t>ID</t>
  </si>
  <si>
    <t>Fhase/Hito</t>
  </si>
  <si>
    <t>Duración (días)</t>
  </si>
  <si>
    <t>Responsable</t>
  </si>
  <si>
    <t>Costo Estimado USD</t>
  </si>
  <si>
    <t>Inicio</t>
  </si>
  <si>
    <t>Fin</t>
  </si>
  <si>
    <t>Inicio - Kick-off con cliente</t>
  </si>
  <si>
    <t>PM</t>
  </si>
  <si>
    <t>Inicio - Aprobación Acta</t>
  </si>
  <si>
    <t>Planificación - Definición Alcance</t>
  </si>
  <si>
    <t>Planificación - Cronograma MONDAY</t>
  </si>
  <si>
    <t>Planificación - Estimación Costos</t>
  </si>
  <si>
    <t>Planificación - Plan Comunicaciones y Riesgos</t>
  </si>
  <si>
    <t>Ejecución AWS - Configuración VPC/Subnets</t>
  </si>
  <si>
    <t>Líder Cloud</t>
  </si>
  <si>
    <t>Ejecución AWS - Deploy EKS</t>
  </si>
  <si>
    <t>Ejecución AWS - Pruebas Failover</t>
  </si>
  <si>
    <t>Integración OnPrem - VPN/Peering</t>
  </si>
  <si>
    <t>Líder OnPremise</t>
  </si>
  <si>
    <t>Integración OnPrem - Integración Sistemas</t>
  </si>
  <si>
    <t>Cierre - Validación Final</t>
  </si>
  <si>
    <t>Cierre - Cierre Administrativo</t>
  </si>
  <si>
    <t>TOTAL (BAC)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</si>
</sst>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212529"/>
      <name val="Aptos Narrow"/>
      <family val="2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1" fontId="1" fillId="3" borderId="1" xfId="0" applyNumberFormat="1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6" fontId="3" fillId="0" borderId="1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S-PV Acumulado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590021582791315E-2"/>
          <c:y val="0.11054222222222224"/>
          <c:w val="0.93332081843949355"/>
          <c:h val="0.78592615923009623"/>
        </c:manualLayout>
      </c:layout>
      <c:lineChart>
        <c:grouping val="standard"/>
        <c:varyColors val="0"/>
        <c:ser>
          <c:idx val="0"/>
          <c:order val="0"/>
          <c:tx>
            <c:strRef>
              <c:f>'Curva S'!$O$8</c:f>
              <c:strCache>
                <c:ptCount val="1"/>
                <c:pt idx="0">
                  <c:v>PV Acumulado (USD)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2.7434836323118428E-3"/>
                  <c:y val="-9.6000000000000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8B9-4BF4-8CCF-939AAB8B44A0}"/>
                </c:ext>
              </c:extLst>
            </c:dLbl>
            <c:dLbl>
              <c:idx val="1"/>
              <c:layout>
                <c:manualLayout>
                  <c:x val="-5.029661889488367E-17"/>
                  <c:y val="-9.955555555555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8B9-4BF4-8CCF-939AAB8B44A0}"/>
                </c:ext>
              </c:extLst>
            </c:dLbl>
            <c:dLbl>
              <c:idx val="2"/>
              <c:layout>
                <c:manualLayout>
                  <c:x val="-5.029661889488367E-17"/>
                  <c:y val="-7.8222222222222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8B9-4BF4-8CCF-939AAB8B44A0}"/>
                </c:ext>
              </c:extLst>
            </c:dLbl>
            <c:dLbl>
              <c:idx val="3"/>
              <c:layout>
                <c:manualLayout>
                  <c:x val="0"/>
                  <c:y val="3.20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8B9-4BF4-8CCF-939AAB8B44A0}"/>
                </c:ext>
              </c:extLst>
            </c:dLbl>
            <c:dLbl>
              <c:idx val="4"/>
              <c:layout>
                <c:manualLayout>
                  <c:x val="0"/>
                  <c:y val="4.6222222222222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8B9-4BF4-8CCF-939AAB8B44A0}"/>
                </c:ext>
              </c:extLst>
            </c:dLbl>
            <c:dLbl>
              <c:idx val="5"/>
              <c:layout>
                <c:manualLayout>
                  <c:x val="0"/>
                  <c:y val="6.0444444444444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B9-4BF4-8CCF-939AAB8B44A0}"/>
                </c:ext>
              </c:extLst>
            </c:dLbl>
            <c:dLbl>
              <c:idx val="6"/>
              <c:layout>
                <c:manualLayout>
                  <c:x val="-1.0059323778976734E-16"/>
                  <c:y val="5.3333333333333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B9-4BF4-8CCF-939AAB8B44A0}"/>
                </c:ext>
              </c:extLst>
            </c:dLbl>
            <c:dLbl>
              <c:idx val="7"/>
              <c:layout>
                <c:manualLayout>
                  <c:x val="0"/>
                  <c:y val="5.3333333333333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8B9-4BF4-8CCF-939AAB8B44A0}"/>
                </c:ext>
              </c:extLst>
            </c:dLbl>
            <c:dLbl>
              <c:idx val="8"/>
              <c:layout>
                <c:manualLayout>
                  <c:x val="0"/>
                  <c:y val="6.40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B9-4BF4-8CCF-939AAB8B44A0}"/>
                </c:ext>
              </c:extLst>
            </c:dLbl>
            <c:dLbl>
              <c:idx val="9"/>
              <c:layout>
                <c:manualLayout>
                  <c:x val="-1.0059323778976734E-16"/>
                  <c:y val="6.7555555555555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8B9-4BF4-8CCF-939AAB8B44A0}"/>
                </c:ext>
              </c:extLst>
            </c:dLbl>
            <c:dLbl>
              <c:idx val="10"/>
              <c:layout>
                <c:manualLayout>
                  <c:x val="-1.0059323778976734E-16"/>
                  <c:y val="5.6888888888888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B9-4BF4-8CCF-939AAB8B44A0}"/>
                </c:ext>
              </c:extLst>
            </c:dLbl>
            <c:dLbl>
              <c:idx val="11"/>
              <c:layout>
                <c:manualLayout>
                  <c:x val="-1.0059323778976734E-16"/>
                  <c:y val="6.0444444444444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B9-4BF4-8CCF-939AAB8B44A0}"/>
                </c:ext>
              </c:extLst>
            </c:dLbl>
            <c:dLbl>
              <c:idx val="12"/>
              <c:layout>
                <c:manualLayout>
                  <c:x val="0"/>
                  <c:y val="5.3333333333333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B9-4BF4-8CCF-939AAB8B44A0}"/>
                </c:ext>
              </c:extLst>
            </c:dLbl>
            <c:dLbl>
              <c:idx val="13"/>
              <c:layout>
                <c:manualLayout>
                  <c:x val="4.1152254484677648E-3"/>
                  <c:y val="8.5661080074487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B9-4BF4-8CCF-939AAB8B44A0}"/>
                </c:ext>
              </c:extLst>
            </c:dLbl>
            <c:dLbl>
              <c:idx val="14"/>
              <c:layout>
                <c:manualLayout>
                  <c:x val="-1.2345676345403293E-2"/>
                  <c:y val="-7.4487895716946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B9-4BF4-8CCF-939AAB8B4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S'!$M$9:$M$23</c:f>
              <c:numCache>
                <c:formatCode>d\-mmm</c:formatCode>
                <c:ptCount val="15"/>
                <c:pt idx="0">
                  <c:v>46157</c:v>
                </c:pt>
                <c:pt idx="1">
                  <c:v>46164</c:v>
                </c:pt>
                <c:pt idx="2">
                  <c:v>46171</c:v>
                </c:pt>
                <c:pt idx="3">
                  <c:v>46175</c:v>
                </c:pt>
                <c:pt idx="4">
                  <c:v>46182</c:v>
                </c:pt>
                <c:pt idx="5">
                  <c:v>46189</c:v>
                </c:pt>
                <c:pt idx="6">
                  <c:v>46196</c:v>
                </c:pt>
                <c:pt idx="7">
                  <c:v>46203</c:v>
                </c:pt>
                <c:pt idx="8">
                  <c:v>46210</c:v>
                </c:pt>
                <c:pt idx="9">
                  <c:v>46217</c:v>
                </c:pt>
                <c:pt idx="10">
                  <c:v>46224</c:v>
                </c:pt>
                <c:pt idx="11">
                  <c:v>46231</c:v>
                </c:pt>
                <c:pt idx="12">
                  <c:v>46238</c:v>
                </c:pt>
                <c:pt idx="13">
                  <c:v>46247</c:v>
                </c:pt>
                <c:pt idx="14">
                  <c:v>46254</c:v>
                </c:pt>
              </c:numCache>
            </c:numRef>
          </c:cat>
          <c:val>
            <c:numRef>
              <c:f>'Curva S'!$O$9:$O$23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7500</c:v>
                </c:pt>
                <c:pt idx="3">
                  <c:v>9000</c:v>
                </c:pt>
                <c:pt idx="4">
                  <c:v>16500</c:v>
                </c:pt>
                <c:pt idx="5">
                  <c:v>24000</c:v>
                </c:pt>
                <c:pt idx="6">
                  <c:v>31500</c:v>
                </c:pt>
                <c:pt idx="7">
                  <c:v>39000</c:v>
                </c:pt>
                <c:pt idx="8">
                  <c:v>46500</c:v>
                </c:pt>
                <c:pt idx="9">
                  <c:v>54000</c:v>
                </c:pt>
                <c:pt idx="10">
                  <c:v>60000</c:v>
                </c:pt>
                <c:pt idx="11">
                  <c:v>66000</c:v>
                </c:pt>
                <c:pt idx="12">
                  <c:v>72000</c:v>
                </c:pt>
                <c:pt idx="13">
                  <c:v>78000</c:v>
                </c:pt>
                <c:pt idx="14">
                  <c:v>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9-4BF4-8CCF-939AAB8B4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226944"/>
        <c:axId val="1409228384"/>
      </c:lineChart>
      <c:catAx>
        <c:axId val="1409226944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9228384"/>
        <c:crosses val="autoZero"/>
        <c:auto val="0"/>
        <c:lblAlgn val="ctr"/>
        <c:lblOffset val="100"/>
        <c:noMultiLvlLbl val="0"/>
      </c:catAx>
      <c:valAx>
        <c:axId val="140922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922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209548</xdr:colOff>
      <xdr:row>7</xdr:row>
      <xdr:rowOff>19050</xdr:rowOff>
    </xdr:from>
    <xdr:to>
      <xdr:col>10</xdr:col>
      <xdr:colOff>419099</xdr:colOff>
      <xdr:row>28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736AE0-63C0-DFDC-6E34-571838C6A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12E4-E7A3-4A86-BE7C-A0E991244018}">
  <dimension ref="A3:G17"/>
  <sheetViews>
    <sheetView tabSelected="1" workbookViewId="0">
      <selection activeCell="J16" sqref="J16"/>
    </sheetView>
  </sheetViews>
  <sheetFormatPr baseColWidth="10" defaultRowHeight="15" x14ac:dyDescent="0.25"/>
  <cols>
    <col min="2" max="2" width="31.42578125" customWidth="1"/>
    <col min="3" max="3" width="15.5703125" customWidth="1"/>
    <col min="5" max="5" width="19.42578125" customWidth="1"/>
    <col min="6" max="6" width="18.42578125" customWidth="1"/>
    <col min="7" max="7" width="28.28515625" customWidth="1"/>
  </cols>
  <sheetData>
    <row r="3" spans="1:7" x14ac:dyDescent="0.25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</row>
    <row r="4" spans="1:7" ht="19.5" customHeight="1" x14ac:dyDescent="0.25">
      <c r="A4" s="1">
        <v>1</v>
      </c>
      <c r="B4" s="1" t="s">
        <v>12</v>
      </c>
      <c r="C4" s="1">
        <v>2</v>
      </c>
      <c r="D4" s="1" t="s">
        <v>13</v>
      </c>
      <c r="E4" s="2">
        <v>1000</v>
      </c>
      <c r="F4" s="3">
        <v>46153</v>
      </c>
      <c r="G4" s="3">
        <v>46154</v>
      </c>
    </row>
    <row r="5" spans="1:7" ht="24.75" customHeight="1" x14ac:dyDescent="0.25">
      <c r="A5" s="1">
        <v>2</v>
      </c>
      <c r="B5" s="1" t="s">
        <v>14</v>
      </c>
      <c r="C5" s="1">
        <v>3</v>
      </c>
      <c r="D5" s="1" t="s">
        <v>13</v>
      </c>
      <c r="E5" s="1">
        <v>1000</v>
      </c>
      <c r="F5" s="3">
        <v>46155</v>
      </c>
      <c r="G5" s="3">
        <v>46157</v>
      </c>
    </row>
    <row r="6" spans="1:7" ht="24" customHeight="1" x14ac:dyDescent="0.25">
      <c r="A6" s="1">
        <v>3</v>
      </c>
      <c r="B6" s="1" t="s">
        <v>15</v>
      </c>
      <c r="C6" s="1">
        <v>5</v>
      </c>
      <c r="D6" s="1" t="s">
        <v>13</v>
      </c>
      <c r="E6" s="1">
        <v>2000</v>
      </c>
      <c r="F6" s="3">
        <v>46160</v>
      </c>
      <c r="G6" s="3">
        <v>46164</v>
      </c>
    </row>
    <row r="7" spans="1:7" ht="23.25" customHeight="1" x14ac:dyDescent="0.25">
      <c r="A7" s="1">
        <v>4</v>
      </c>
      <c r="B7" s="1" t="s">
        <v>16</v>
      </c>
      <c r="C7" s="1">
        <v>3</v>
      </c>
      <c r="D7" s="1" t="s">
        <v>13</v>
      </c>
      <c r="E7" s="1">
        <v>2000</v>
      </c>
      <c r="F7" s="3">
        <v>46167</v>
      </c>
      <c r="G7" s="3">
        <v>46169</v>
      </c>
    </row>
    <row r="8" spans="1:7" ht="23.25" customHeight="1" x14ac:dyDescent="0.25">
      <c r="A8" s="1">
        <v>5</v>
      </c>
      <c r="B8" s="1" t="s">
        <v>17</v>
      </c>
      <c r="C8" s="1">
        <v>2</v>
      </c>
      <c r="D8" s="1" t="s">
        <v>13</v>
      </c>
      <c r="E8" s="1">
        <v>1500</v>
      </c>
      <c r="F8" s="3">
        <v>46170</v>
      </c>
      <c r="G8" s="3">
        <v>46171</v>
      </c>
    </row>
    <row r="9" spans="1:7" ht="29.25" customHeight="1" x14ac:dyDescent="0.25">
      <c r="A9" s="1">
        <v>6</v>
      </c>
      <c r="B9" s="1" t="s">
        <v>18</v>
      </c>
      <c r="C9" s="1">
        <v>2</v>
      </c>
      <c r="D9" s="1" t="s">
        <v>13</v>
      </c>
      <c r="E9" s="1">
        <v>1500</v>
      </c>
      <c r="F9" s="3">
        <v>46174</v>
      </c>
      <c r="G9" s="3">
        <v>46175</v>
      </c>
    </row>
    <row r="10" spans="1:7" ht="24" customHeight="1" x14ac:dyDescent="0.25">
      <c r="A10" s="1">
        <v>7</v>
      </c>
      <c r="B10" s="1" t="s">
        <v>19</v>
      </c>
      <c r="C10" s="1">
        <v>10</v>
      </c>
      <c r="D10" s="1" t="s">
        <v>20</v>
      </c>
      <c r="E10" s="1">
        <v>15000</v>
      </c>
      <c r="F10" s="3">
        <v>46176</v>
      </c>
      <c r="G10" s="3">
        <v>46189</v>
      </c>
    </row>
    <row r="11" spans="1:7" x14ac:dyDescent="0.25">
      <c r="A11" s="1">
        <v>8</v>
      </c>
      <c r="B11" s="1" t="s">
        <v>21</v>
      </c>
      <c r="C11" s="1">
        <v>10</v>
      </c>
      <c r="D11" s="1" t="s">
        <v>20</v>
      </c>
      <c r="E11" s="1">
        <v>15000</v>
      </c>
      <c r="F11" s="3">
        <v>46190</v>
      </c>
      <c r="G11" s="3">
        <v>46203</v>
      </c>
    </row>
    <row r="12" spans="1:7" ht="24.75" customHeight="1" x14ac:dyDescent="0.25">
      <c r="A12" s="1">
        <v>9</v>
      </c>
      <c r="B12" s="1" t="s">
        <v>22</v>
      </c>
      <c r="C12" s="1">
        <v>10</v>
      </c>
      <c r="D12" s="1" t="s">
        <v>20</v>
      </c>
      <c r="E12" s="1">
        <v>15000</v>
      </c>
      <c r="F12" s="3">
        <v>46204</v>
      </c>
      <c r="G12" s="3">
        <v>46217</v>
      </c>
    </row>
    <row r="13" spans="1:7" ht="18.75" customHeight="1" x14ac:dyDescent="0.25">
      <c r="A13" s="1">
        <v>10</v>
      </c>
      <c r="B13" s="1" t="s">
        <v>23</v>
      </c>
      <c r="C13" s="1">
        <v>10</v>
      </c>
      <c r="D13" s="1" t="s">
        <v>24</v>
      </c>
      <c r="E13" s="1">
        <v>12000</v>
      </c>
      <c r="F13" s="3">
        <v>46218</v>
      </c>
      <c r="G13" s="3">
        <v>46233</v>
      </c>
    </row>
    <row r="14" spans="1:7" ht="20.25" customHeight="1" x14ac:dyDescent="0.25">
      <c r="A14" s="1">
        <v>11</v>
      </c>
      <c r="B14" s="1" t="s">
        <v>25</v>
      </c>
      <c r="C14" s="1">
        <v>10</v>
      </c>
      <c r="D14" s="1" t="s">
        <v>24</v>
      </c>
      <c r="E14" s="1">
        <v>12000</v>
      </c>
      <c r="F14" s="3">
        <v>46234</v>
      </c>
      <c r="G14" s="3">
        <v>46247</v>
      </c>
    </row>
    <row r="15" spans="1:7" ht="21" customHeight="1" x14ac:dyDescent="0.25">
      <c r="A15" s="1">
        <v>12</v>
      </c>
      <c r="B15" s="1" t="s">
        <v>26</v>
      </c>
      <c r="C15" s="1">
        <v>3</v>
      </c>
      <c r="D15" s="1" t="s">
        <v>13</v>
      </c>
      <c r="E15" s="1">
        <v>1000</v>
      </c>
      <c r="F15" s="3">
        <v>46248</v>
      </c>
      <c r="G15" s="3">
        <v>46252</v>
      </c>
    </row>
    <row r="16" spans="1:7" ht="17.25" customHeight="1" x14ac:dyDescent="0.25">
      <c r="A16" s="1">
        <v>13</v>
      </c>
      <c r="B16" s="1" t="s">
        <v>27</v>
      </c>
      <c r="C16" s="1">
        <v>2</v>
      </c>
      <c r="D16" s="1" t="s">
        <v>13</v>
      </c>
      <c r="E16" s="1">
        <v>1000</v>
      </c>
      <c r="F16" s="3">
        <v>46253</v>
      </c>
      <c r="G16" s="3">
        <v>46254</v>
      </c>
    </row>
    <row r="17" spans="1:7" x14ac:dyDescent="0.25">
      <c r="A17" s="7" t="s">
        <v>28</v>
      </c>
      <c r="B17" s="7"/>
      <c r="C17" s="7">
        <f>SUM(C4:C16)</f>
        <v>72</v>
      </c>
      <c r="D17" s="7"/>
      <c r="E17" s="8">
        <f>SUM(E4:E16)</f>
        <v>80000</v>
      </c>
      <c r="F17" s="9"/>
      <c r="G1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224B-BD38-40F6-A5FB-8CE8834B89FD}">
  <dimension ref="L2:O24"/>
  <sheetViews>
    <sheetView topLeftCell="A6" workbookViewId="0">
      <selection activeCell="L31" sqref="L31"/>
    </sheetView>
  </sheetViews>
  <sheetFormatPr baseColWidth="10" defaultRowHeight="15" x14ac:dyDescent="0.25"/>
  <cols>
    <col min="1" max="1" width="9.7109375" customWidth="1"/>
    <col min="2" max="2" width="26" customWidth="1"/>
    <col min="3" max="3" width="11.85546875" customWidth="1"/>
    <col min="4" max="4" width="12.5703125" customWidth="1"/>
    <col min="5" max="5" width="15.7109375" customWidth="1"/>
    <col min="6" max="6" width="10.28515625" customWidth="1"/>
    <col min="7" max="7" width="16.28515625" customWidth="1"/>
    <col min="8" max="8" width="19" customWidth="1"/>
    <col min="9" max="9" width="9" customWidth="1"/>
    <col min="10" max="10" width="11" customWidth="1"/>
    <col min="11" max="11" width="15.5703125" customWidth="1"/>
    <col min="14" max="14" width="17.42578125" customWidth="1"/>
    <col min="15" max="15" width="18.85546875" customWidth="1"/>
  </cols>
  <sheetData>
    <row r="2" spans="12:15" ht="20.25" customHeight="1" x14ac:dyDescent="0.25"/>
    <row r="3" spans="12:15" x14ac:dyDescent="0.25">
      <c r="L3" s="10"/>
      <c r="M3" s="11"/>
      <c r="N3" s="10"/>
    </row>
    <row r="4" spans="12:15" x14ac:dyDescent="0.25">
      <c r="L4" s="10"/>
      <c r="M4" s="11"/>
      <c r="N4" s="10"/>
    </row>
    <row r="8" spans="12:15" x14ac:dyDescent="0.25">
      <c r="L8" s="4" t="s">
        <v>0</v>
      </c>
      <c r="M8" s="4" t="s">
        <v>1</v>
      </c>
      <c r="N8" s="4" t="s">
        <v>2</v>
      </c>
      <c r="O8" s="4" t="s">
        <v>3</v>
      </c>
    </row>
    <row r="9" spans="12:15" x14ac:dyDescent="0.25">
      <c r="L9" s="5">
        <v>1</v>
      </c>
      <c r="M9" s="12">
        <v>46157</v>
      </c>
      <c r="N9" s="5">
        <v>2000</v>
      </c>
      <c r="O9" s="5">
        <v>2000</v>
      </c>
    </row>
    <row r="10" spans="12:15" x14ac:dyDescent="0.25">
      <c r="L10" s="5">
        <v>2</v>
      </c>
      <c r="M10" s="12">
        <v>46164</v>
      </c>
      <c r="N10" s="5">
        <v>2000</v>
      </c>
      <c r="O10" s="5">
        <v>4000</v>
      </c>
    </row>
    <row r="11" spans="12:15" x14ac:dyDescent="0.25">
      <c r="L11" s="5">
        <v>3</v>
      </c>
      <c r="M11" s="12">
        <v>46171</v>
      </c>
      <c r="N11" s="5">
        <v>3500</v>
      </c>
      <c r="O11" s="5">
        <v>7500</v>
      </c>
    </row>
    <row r="12" spans="12:15" x14ac:dyDescent="0.25">
      <c r="L12" s="5">
        <v>4</v>
      </c>
      <c r="M12" s="12">
        <v>46175</v>
      </c>
      <c r="N12" s="5">
        <v>1500</v>
      </c>
      <c r="O12" s="5">
        <v>9000</v>
      </c>
    </row>
    <row r="13" spans="12:15" x14ac:dyDescent="0.25">
      <c r="L13" s="5">
        <v>5</v>
      </c>
      <c r="M13" s="12">
        <v>46182</v>
      </c>
      <c r="N13" s="5">
        <v>7500</v>
      </c>
      <c r="O13" s="5">
        <v>16500</v>
      </c>
    </row>
    <row r="14" spans="12:15" x14ac:dyDescent="0.25">
      <c r="L14" s="5">
        <v>6</v>
      </c>
      <c r="M14" s="12">
        <v>46189</v>
      </c>
      <c r="N14" s="5">
        <v>7500</v>
      </c>
      <c r="O14" s="5">
        <v>24000</v>
      </c>
    </row>
    <row r="15" spans="12:15" x14ac:dyDescent="0.25">
      <c r="L15" s="5">
        <v>7</v>
      </c>
      <c r="M15" s="12">
        <v>46196</v>
      </c>
      <c r="N15" s="5">
        <v>7500</v>
      </c>
      <c r="O15" s="5">
        <v>31500</v>
      </c>
    </row>
    <row r="16" spans="12:15" x14ac:dyDescent="0.25">
      <c r="L16" s="5">
        <v>8</v>
      </c>
      <c r="M16" s="12">
        <v>46203</v>
      </c>
      <c r="N16" s="5">
        <v>7500</v>
      </c>
      <c r="O16" s="5">
        <v>39000</v>
      </c>
    </row>
    <row r="17" spans="12:15" x14ac:dyDescent="0.25">
      <c r="L17" s="5">
        <v>9</v>
      </c>
      <c r="M17" s="12">
        <v>46210</v>
      </c>
      <c r="N17" s="5">
        <v>7500</v>
      </c>
      <c r="O17" s="5">
        <v>46500</v>
      </c>
    </row>
    <row r="18" spans="12:15" x14ac:dyDescent="0.25">
      <c r="L18" s="5">
        <v>10</v>
      </c>
      <c r="M18" s="12">
        <v>46217</v>
      </c>
      <c r="N18" s="5">
        <v>7500</v>
      </c>
      <c r="O18" s="5">
        <v>54000</v>
      </c>
    </row>
    <row r="19" spans="12:15" x14ac:dyDescent="0.25">
      <c r="L19" s="5">
        <v>11</v>
      </c>
      <c r="M19" s="12">
        <v>46224</v>
      </c>
      <c r="N19" s="5">
        <v>6000</v>
      </c>
      <c r="O19" s="5">
        <v>60000</v>
      </c>
    </row>
    <row r="20" spans="12:15" x14ac:dyDescent="0.25">
      <c r="L20" s="5">
        <v>12</v>
      </c>
      <c r="M20" s="12">
        <v>46231</v>
      </c>
      <c r="N20" s="5">
        <v>6000</v>
      </c>
      <c r="O20" s="5">
        <v>66000</v>
      </c>
    </row>
    <row r="21" spans="12:15" x14ac:dyDescent="0.25">
      <c r="L21" s="5">
        <v>13</v>
      </c>
      <c r="M21" s="12">
        <v>46238</v>
      </c>
      <c r="N21" s="5">
        <v>6000</v>
      </c>
      <c r="O21" s="5">
        <v>72000</v>
      </c>
    </row>
    <row r="22" spans="12:15" x14ac:dyDescent="0.25">
      <c r="L22" s="13">
        <v>14</v>
      </c>
      <c r="M22" s="12">
        <v>46247</v>
      </c>
      <c r="N22" s="13">
        <v>6000</v>
      </c>
      <c r="O22" s="13">
        <v>78000</v>
      </c>
    </row>
    <row r="23" spans="12:15" x14ac:dyDescent="0.25">
      <c r="L23" s="13">
        <v>15</v>
      </c>
      <c r="M23" s="12">
        <v>46254</v>
      </c>
      <c r="N23" s="13">
        <v>2000</v>
      </c>
      <c r="O23" s="13">
        <v>80000</v>
      </c>
    </row>
    <row r="24" spans="12:15" x14ac:dyDescent="0.25">
      <c r="L24" s="6" t="s">
        <v>4</v>
      </c>
      <c r="M24" s="6"/>
      <c r="N24" s="6">
        <f>SUM(N9:N21)</f>
        <v>72000</v>
      </c>
      <c r="O2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inicial</vt:lpstr>
      <vt:lpstr>Curva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Andrés Alcántara Díaz</dc:creator>
  <cp:lastModifiedBy>Wilder Andrés Alcántara Díaz</cp:lastModifiedBy>
  <dcterms:created xsi:type="dcterms:W3CDTF">2026-05-01T21:34:25Z</dcterms:created>
  <dcterms:modified xsi:type="dcterms:W3CDTF">2026-05-03T20:12:10Z</dcterms:modified>
</cp:coreProperties>
</file>