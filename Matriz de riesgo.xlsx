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ad1\OneDrive\Documentos\"/>
    </mc:Choice>
  </mc:AlternateContent>
  <xr:revisionPtr revIDLastSave="0" documentId="13_ncr:1_{62136727-2F3E-4C3C-BFAD-8B91B1E1F3E3}" xr6:coauthVersionLast="47" xr6:coauthVersionMax="47" xr10:uidLastSave="{00000000-0000-0000-0000-000000000000}"/>
  <bookViews>
    <workbookView xWindow="-120" yWindow="-120" windowWidth="24240" windowHeight="13140" xr2:uid="{EA664664-A020-4C3D-97A7-E38B39ABE4CD}"/>
  </bookViews>
  <sheets>
    <sheet name="Matriz de riesg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2" l="1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<sst xmlns="http://schemas.openxmlformats.org/spreadsheetml/2006/main" count="83" uniqueCount="63">
  <si>
    <t>ID</t>
  </si>
  <si>
    <t>Riesgo</t>
  </si>
  <si>
    <t>Fase afectada</t>
  </si>
  <si>
    <t>Probabilidad</t>
  </si>
  <si>
    <t>Impacto</t>
  </si>
  <si>
    <t>Estrategia</t>
  </si>
  <si>
    <t>Impacto económico estimado (USD)</t>
  </si>
  <si>
    <t>Reserva Contingencia (USD)</t>
  </si>
  <si>
    <t>Trigger (Disparador)</t>
  </si>
  <si>
    <t>Plan de respuesta</t>
  </si>
  <si>
    <t>Responsable</t>
  </si>
  <si>
    <t>R1</t>
  </si>
  <si>
    <t>Indisponibilidad Líder Cloud</t>
  </si>
  <si>
    <t>Ejecución AWS (IDs 7-9)</t>
  </si>
  <si>
    <t>Alta</t>
  </si>
  <si>
    <t>Alto</t>
  </si>
  <si>
    <t>Mitigar</t>
  </si>
  <si>
    <t>Ausencia &gt;2 días o retraso en tareas críticas</t>
  </si>
  <si>
    <t>Asignar backup + documentación + redistribución de carga</t>
  </si>
  <si>
    <t>PM / Líder Cloud</t>
  </si>
  <si>
    <t>R2</t>
  </si>
  <si>
    <t>Error de configuración VPC/Subnets</t>
  </si>
  <si>
    <t>Ejecución AWS (ID 7)</t>
  </si>
  <si>
    <t>Media</t>
  </si>
  <si>
    <t>Fallas en conectividad o despliegue</t>
  </si>
  <si>
    <t>Reconfiguración + validación arquitectura</t>
  </si>
  <si>
    <t>Líder Cloud</t>
  </si>
  <si>
    <t>R3</t>
  </si>
  <si>
    <t>Falla en despliegue EKS</t>
  </si>
  <si>
    <t>Ejecución AWS (ID 8)</t>
  </si>
  <si>
    <t>Errores en cluster o deployment fallido</t>
  </si>
  <si>
    <t>Rollback + ajuste configuración</t>
  </si>
  <si>
    <t>R4</t>
  </si>
  <si>
    <t>Falla en pruebas Failover</t>
  </si>
  <si>
    <t>Ejecución AWS (ID 9)</t>
  </si>
  <si>
    <t>No cumplimiento RTO/RPO</t>
  </si>
  <si>
    <t>Ajuste arquitectura DR + nuevas pruebas</t>
  </si>
  <si>
    <t>R5</t>
  </si>
  <si>
    <t>Falla en VPN/Peering</t>
  </si>
  <si>
    <t>Integración OnPrem (ID 10)</t>
  </si>
  <si>
    <t>Latencia alta o desconexión</t>
  </si>
  <si>
    <t>Rediseño túneles + pruebas redundancia</t>
  </si>
  <si>
    <t>Líder OnPrem</t>
  </si>
  <si>
    <t>R6</t>
  </si>
  <si>
    <t>Errores en integración sistemas</t>
  </si>
  <si>
    <t>Integración OnPrem (ID 11)</t>
  </si>
  <si>
    <t>Medio</t>
  </si>
  <si>
    <t>Errores en APIs o incompatibilidades</t>
  </si>
  <si>
    <t>Ajustes integración + pruebas</t>
  </si>
  <si>
    <t>R7</t>
  </si>
  <si>
    <t>Incumplimiento PCI DSS / ISO 27001</t>
  </si>
  <si>
    <t>Ejecución AWS + Integración</t>
  </si>
  <si>
    <t>Evitar</t>
  </si>
  <si>
    <t>Hallazgo auditoría o vulnerabilidad(afecta 30-50 % del sistema)</t>
  </si>
  <si>
    <t>Hardening + auditoría + controles</t>
  </si>
  <si>
    <t>Líder Cloud / Seguridad</t>
  </si>
  <si>
    <t>R8</t>
  </si>
  <si>
    <t>Cambios de alcance del cliente</t>
  </si>
  <si>
    <t>Todo el proyecto</t>
  </si>
  <si>
    <t>Aceptar</t>
  </si>
  <si>
    <t>Solicitudes fuera del alcance(80k*0.2),afecta 20 % proy</t>
  </si>
  <si>
    <t>Change control formal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</si>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</sst>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FA42-6916-4600-B752-9587CAF41E15}">
  <dimension ref="B2:L10"/>
  <sheetViews>
    <sheetView tabSelected="1" workbookViewId="0">
      <selection activeCell="J10" sqref="J10"/>
    </sheetView>
  </sheetViews>
  <sheetFormatPr baseColWidth="10" defaultRowHeight="15" x14ac:dyDescent="0.25"/>
  <cols>
    <col min="3" max="3" width="44.42578125" customWidth="1"/>
    <col min="4" max="4" width="26.5703125" customWidth="1"/>
    <col min="5" max="5" width="15.28515625" customWidth="1"/>
    <col min="8" max="9" width="30.85546875" customWidth="1"/>
    <col min="10" max="10" width="30" customWidth="1"/>
    <col min="11" max="11" width="29.28515625" customWidth="1"/>
    <col min="12" max="12" width="22" customWidth="1"/>
  </cols>
  <sheetData>
    <row r="2" spans="2:12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 t="s">
        <v>10</v>
      </c>
    </row>
    <row r="3" spans="2:12" ht="45" x14ac:dyDescent="0.25"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>
        <v>45000</v>
      </c>
      <c r="I3" s="3">
        <f>H3*IF(E3="Alta",0.7,IF(E3="Media",0.4,0.2))</f>
        <v>31499.999999999996</v>
      </c>
      <c r="J3" s="3" t="s">
        <v>17</v>
      </c>
      <c r="K3" s="3" t="s">
        <v>18</v>
      </c>
      <c r="L3" s="4" t="s">
        <v>19</v>
      </c>
    </row>
    <row r="4" spans="2:12" ht="30" x14ac:dyDescent="0.25">
      <c r="B4" s="3" t="s">
        <v>20</v>
      </c>
      <c r="C4" s="3" t="s">
        <v>21</v>
      </c>
      <c r="D4" s="3" t="s">
        <v>22</v>
      </c>
      <c r="E4" s="3" t="s">
        <v>23</v>
      </c>
      <c r="F4" s="3" t="s">
        <v>15</v>
      </c>
      <c r="G4" s="3" t="s">
        <v>16</v>
      </c>
      <c r="H4" s="3">
        <v>15000</v>
      </c>
      <c r="I4" s="3">
        <f t="shared" ref="I4:I10" si="0">H4*IF(E4="Alta",0.7,IF(E4="Media",0.4,0.2))</f>
        <v>6000</v>
      </c>
      <c r="J4" s="3" t="s">
        <v>24</v>
      </c>
      <c r="K4" s="3" t="s">
        <v>25</v>
      </c>
      <c r="L4" s="4" t="s">
        <v>26</v>
      </c>
    </row>
    <row r="5" spans="2:12" ht="30" x14ac:dyDescent="0.25">
      <c r="B5" s="3" t="s">
        <v>27</v>
      </c>
      <c r="C5" s="3" t="s">
        <v>28</v>
      </c>
      <c r="D5" s="3" t="s">
        <v>29</v>
      </c>
      <c r="E5" s="3" t="s">
        <v>23</v>
      </c>
      <c r="F5" s="3" t="s">
        <v>15</v>
      </c>
      <c r="G5" s="3" t="s">
        <v>16</v>
      </c>
      <c r="H5" s="3">
        <v>15000</v>
      </c>
      <c r="I5" s="3">
        <f t="shared" si="0"/>
        <v>6000</v>
      </c>
      <c r="J5" s="3" t="s">
        <v>30</v>
      </c>
      <c r="K5" s="3" t="s">
        <v>31</v>
      </c>
      <c r="L5" s="4" t="s">
        <v>26</v>
      </c>
    </row>
    <row r="6" spans="2:12" ht="30" x14ac:dyDescent="0.25">
      <c r="B6" s="3" t="s">
        <v>32</v>
      </c>
      <c r="C6" s="3" t="s">
        <v>33</v>
      </c>
      <c r="D6" s="3" t="s">
        <v>34</v>
      </c>
      <c r="E6" s="3" t="s">
        <v>23</v>
      </c>
      <c r="F6" s="3" t="s">
        <v>15</v>
      </c>
      <c r="G6" s="3" t="s">
        <v>16</v>
      </c>
      <c r="H6" s="3">
        <v>15000</v>
      </c>
      <c r="I6" s="3">
        <f t="shared" si="0"/>
        <v>6000</v>
      </c>
      <c r="J6" s="3" t="s">
        <v>35</v>
      </c>
      <c r="K6" s="3" t="s">
        <v>36</v>
      </c>
      <c r="L6" s="4" t="s">
        <v>26</v>
      </c>
    </row>
    <row r="7" spans="2:12" ht="30" x14ac:dyDescent="0.25">
      <c r="B7" s="3" t="s">
        <v>37</v>
      </c>
      <c r="C7" s="3" t="s">
        <v>38</v>
      </c>
      <c r="D7" s="3" t="s">
        <v>39</v>
      </c>
      <c r="E7" s="3" t="s">
        <v>14</v>
      </c>
      <c r="F7" s="3" t="s">
        <v>15</v>
      </c>
      <c r="G7" s="3" t="s">
        <v>16</v>
      </c>
      <c r="H7" s="3">
        <v>12000</v>
      </c>
      <c r="I7" s="3">
        <f t="shared" si="0"/>
        <v>8400</v>
      </c>
      <c r="J7" s="3" t="s">
        <v>40</v>
      </c>
      <c r="K7" s="3" t="s">
        <v>41</v>
      </c>
      <c r="L7" s="4" t="s">
        <v>42</v>
      </c>
    </row>
    <row r="8" spans="2:12" ht="30" x14ac:dyDescent="0.25">
      <c r="B8" s="3" t="s">
        <v>43</v>
      </c>
      <c r="C8" s="3" t="s">
        <v>44</v>
      </c>
      <c r="D8" s="3" t="s">
        <v>45</v>
      </c>
      <c r="E8" s="3" t="s">
        <v>23</v>
      </c>
      <c r="F8" s="3" t="s">
        <v>46</v>
      </c>
      <c r="G8" s="3" t="s">
        <v>16</v>
      </c>
      <c r="H8" s="3">
        <v>12000</v>
      </c>
      <c r="I8" s="3">
        <f t="shared" si="0"/>
        <v>4800</v>
      </c>
      <c r="J8" s="3" t="s">
        <v>47</v>
      </c>
      <c r="K8" s="3" t="s">
        <v>48</v>
      </c>
      <c r="L8" s="4" t="s">
        <v>42</v>
      </c>
    </row>
    <row r="9" spans="2:12" ht="45" x14ac:dyDescent="0.25">
      <c r="B9" s="3" t="s">
        <v>49</v>
      </c>
      <c r="C9" s="3" t="s">
        <v>50</v>
      </c>
      <c r="D9" s="3" t="s">
        <v>51</v>
      </c>
      <c r="E9" s="3" t="s">
        <v>23</v>
      </c>
      <c r="F9" s="3" t="s">
        <v>15</v>
      </c>
      <c r="G9" s="3" t="s">
        <v>52</v>
      </c>
      <c r="H9" s="3">
        <v>30000</v>
      </c>
      <c r="I9" s="3">
        <f t="shared" si="0"/>
        <v>12000</v>
      </c>
      <c r="J9" s="3" t="s">
        <v>53</v>
      </c>
      <c r="K9" s="3" t="s">
        <v>54</v>
      </c>
      <c r="L9" s="4" t="s">
        <v>55</v>
      </c>
    </row>
    <row r="10" spans="2:12" x14ac:dyDescent="0.25">
      <c r="B10" s="3" t="s">
        <v>56</v>
      </c>
      <c r="C10" s="4" t="s">
        <v>57</v>
      </c>
      <c r="D10" s="4" t="s">
        <v>58</v>
      </c>
      <c r="E10" s="4" t="s">
        <v>14</v>
      </c>
      <c r="F10" s="4" t="s">
        <v>46</v>
      </c>
      <c r="G10" s="4" t="s">
        <v>59</v>
      </c>
      <c r="H10" s="4">
        <v>16000</v>
      </c>
      <c r="I10" s="3">
        <f t="shared" si="0"/>
        <v>11200</v>
      </c>
      <c r="J10" s="4" t="s">
        <v>60</v>
      </c>
      <c r="K10" s="4" t="s">
        <v>61</v>
      </c>
      <c r="L10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Wilder Andrés Alcántara Díaz</dc:creator>
  <cp:lastModifiedBy>Wilder Andrés Alcántara Díaz</cp:lastModifiedBy>
  <dcterms:created xsi:type="dcterms:W3CDTF">2026-05-02T16:03:33Z</dcterms:created>
  <dcterms:modified xsi:type="dcterms:W3CDTF">2026-05-02T16:04:42Z</dcterms:modified>
</cp:coreProperties>
</file>